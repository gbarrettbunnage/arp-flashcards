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as1854.sharepoint.com/sites/Workshops2026-ARPappliesfromT22026/Shared Documents/ARP (applies from T2 2026)/Workshop 2/"/>
    </mc:Choice>
  </mc:AlternateContent>
  <xr:revisionPtr revIDLastSave="1" documentId="8_{77833945-F993-41F6-A9E1-E1420FC0D1BA}" xr6:coauthVersionLast="47" xr6:coauthVersionMax="47" xr10:uidLastSave="{3E4B93F6-E277-4A29-9EC3-0CF14199676D}"/>
  <bookViews>
    <workbookView xWindow="-120" yWindow="-120" windowWidth="29040" windowHeight="15720" xr2:uid="{B223B253-EBB0-44E0-AAF9-6D6E6359FDA6}"/>
  </bookViews>
  <sheets>
    <sheet name="Q4 R2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6" l="1"/>
  <c r="D43" i="6"/>
  <c r="K28" i="6"/>
  <c r="K8" i="6"/>
  <c r="D10" i="6"/>
  <c r="C10" i="6"/>
  <c r="F7" i="6"/>
  <c r="G7" i="6" s="1"/>
  <c r="K7" i="6" s="1"/>
  <c r="F42" i="6"/>
  <c r="G42" i="6" s="1"/>
  <c r="K42" i="6" s="1"/>
  <c r="F41" i="6"/>
  <c r="G41" i="6" s="1"/>
  <c r="K41" i="6" s="1"/>
  <c r="F37" i="6"/>
  <c r="G37" i="6" s="1"/>
  <c r="K37" i="6" s="1"/>
  <c r="K38" i="6" s="1"/>
  <c r="F27" i="6"/>
  <c r="F23" i="6"/>
  <c r="G23" i="6" s="1"/>
  <c r="K23" i="6" s="1"/>
  <c r="F21" i="6"/>
  <c r="G21" i="6" s="1"/>
  <c r="K21" i="6" s="1"/>
  <c r="F15" i="6"/>
  <c r="G15" i="6" s="1"/>
  <c r="K15" i="6" s="1"/>
  <c r="F14" i="6"/>
  <c r="G14" i="6" s="1"/>
  <c r="K14" i="6" s="1"/>
  <c r="F13" i="6"/>
  <c r="F6" i="6"/>
  <c r="C43" i="6"/>
  <c r="D38" i="6"/>
  <c r="C38" i="6"/>
  <c r="D34" i="6"/>
  <c r="C34" i="6"/>
  <c r="D16" i="6"/>
  <c r="C16" i="6"/>
  <c r="K43" i="6" l="1"/>
  <c r="K44" i="6" s="1"/>
  <c r="F16" i="6"/>
  <c r="G16" i="6" s="1"/>
  <c r="D17" i="6"/>
  <c r="F34" i="6"/>
  <c r="G34" i="6" s="1"/>
  <c r="F10" i="6"/>
  <c r="G6" i="6"/>
  <c r="K6" i="6" s="1"/>
  <c r="K10" i="6" s="1"/>
  <c r="F38" i="6"/>
  <c r="G38" i="6" s="1"/>
  <c r="F43" i="6"/>
  <c r="G43" i="6" s="1"/>
  <c r="G27" i="6"/>
  <c r="K27" i="6" s="1"/>
  <c r="K34" i="6" s="1"/>
  <c r="C17" i="6"/>
  <c r="C44" i="6"/>
  <c r="D44" i="6"/>
  <c r="D45" i="6" s="1"/>
  <c r="G13" i="6"/>
  <c r="K13" i="6" s="1"/>
  <c r="K16" i="6" s="1"/>
  <c r="K45" i="6" l="1"/>
  <c r="L46" i="6" s="1"/>
  <c r="K17" i="6"/>
  <c r="F44" i="6"/>
  <c r="F45" i="6" s="1"/>
  <c r="F17" i="6"/>
  <c r="G17" i="6" s="1"/>
  <c r="G10" i="6"/>
  <c r="G44" i="6"/>
  <c r="C45" i="6"/>
  <c r="G45" i="6" l="1"/>
</calcChain>
</file>

<file path=xl/sharedStrings.xml><?xml version="1.0" encoding="utf-8"?>
<sst xmlns="http://schemas.openxmlformats.org/spreadsheetml/2006/main" count="45" uniqueCount="40">
  <si>
    <t>Statements of financial position</t>
  </si>
  <si>
    <t>As at 31 March 20X8</t>
  </si>
  <si>
    <t>Jeffries</t>
  </si>
  <si>
    <t>Suso</t>
  </si>
  <si>
    <t>£'000</t>
  </si>
  <si>
    <t>€'000</t>
  </si>
  <si>
    <t>ASSETS</t>
  </si>
  <si>
    <t>Non-Current Assets</t>
  </si>
  <si>
    <t>Property, plant and equipment</t>
  </si>
  <si>
    <t>Investments</t>
  </si>
  <si>
    <t>Current assets</t>
  </si>
  <si>
    <t>Inventories</t>
  </si>
  <si>
    <t>Trade and other recievables</t>
  </si>
  <si>
    <t>Cash and cash equivalents</t>
  </si>
  <si>
    <t>Total Assets</t>
  </si>
  <si>
    <t>EQUITY AND LIABILITIES</t>
  </si>
  <si>
    <t xml:space="preserve">Equity  </t>
  </si>
  <si>
    <t>Share capital</t>
  </si>
  <si>
    <t>Retained earnings</t>
  </si>
  <si>
    <t>Revaluation Surplus</t>
  </si>
  <si>
    <t>Total equity</t>
  </si>
  <si>
    <t>Non-Current Liabilities</t>
  </si>
  <si>
    <t>Bonds</t>
  </si>
  <si>
    <t xml:space="preserve">Total non-current liabilities </t>
  </si>
  <si>
    <t xml:space="preserve">Current Liabilities </t>
  </si>
  <si>
    <t>Trade and other payables</t>
  </si>
  <si>
    <t xml:space="preserve">Total current liabilities </t>
  </si>
  <si>
    <t xml:space="preserve">Total liabilities </t>
  </si>
  <si>
    <t xml:space="preserve">Total equity and liabilities </t>
  </si>
  <si>
    <t>Dr</t>
  </si>
  <si>
    <t>Cr</t>
  </si>
  <si>
    <t>Goodwill</t>
  </si>
  <si>
    <t>Suso translated</t>
  </si>
  <si>
    <t>Total</t>
  </si>
  <si>
    <t xml:space="preserve">Adjustments </t>
  </si>
  <si>
    <t xml:space="preserve">Final </t>
  </si>
  <si>
    <t>JE</t>
  </si>
  <si>
    <t>Translation Reserve</t>
  </si>
  <si>
    <t>Non- Controlling interests</t>
  </si>
  <si>
    <t>Income taxes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</si>
</sst>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;\(#,##0\)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u val="doubleAccounting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3" fillId="0" borderId="0" xfId="1" applyNumberFormat="1" applyFont="1"/>
    <xf numFmtId="164" fontId="4" fillId="0" borderId="0" xfId="1" applyNumberFormat="1" applyFont="1"/>
    <xf numFmtId="164" fontId="5" fillId="0" borderId="0" xfId="1" applyNumberFormat="1" applyFont="1"/>
    <xf numFmtId="49" fontId="2" fillId="0" borderId="0" xfId="0" applyNumberFormat="1" applyFont="1"/>
    <xf numFmtId="164" fontId="0" fillId="0" borderId="0" xfId="0" applyNumberFormat="1"/>
    <xf numFmtId="165" fontId="0" fillId="0" borderId="0" xfId="1" applyNumberFormat="1" applyFont="1" applyAlignment="1">
      <alignment horizontal="center"/>
    </xf>
    <xf numFmtId="164" fontId="1" fillId="0" borderId="0" xfId="1" applyNumberFormat="1" applyFont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4A76-AECB-43E3-BEA1-CC5033A9A308}">
  <sheetPr>
    <pageSetUpPr fitToPage="1"/>
  </sheetPr>
  <dimension ref="A1:L47"/>
  <sheetViews>
    <sheetView tabSelected="1" zoomScale="140" zoomScaleNormal="140" workbookViewId="0">
      <selection activeCell="A42" sqref="A42"/>
    </sheetView>
  </sheetViews>
  <sheetFormatPr defaultRowHeight="12.5" x14ac:dyDescent="0.25"/>
  <cols>
    <col min="1" max="1" width="18.7265625" customWidth="1"/>
    <col min="6" max="6" width="15.1796875" customWidth="1"/>
    <col min="15" max="16" width="2.7265625" bestFit="1" customWidth="1"/>
    <col min="17" max="17" width="39.453125" customWidth="1"/>
    <col min="18" max="18" width="10.1796875" bestFit="1" customWidth="1"/>
    <col min="19" max="19" width="9.1796875" bestFit="1" customWidth="1"/>
  </cols>
  <sheetData>
    <row r="1" spans="1:11" ht="13" x14ac:dyDescent="0.3">
      <c r="A1" s="1" t="s">
        <v>0</v>
      </c>
    </row>
    <row r="2" spans="1:11" ht="13" x14ac:dyDescent="0.3">
      <c r="A2" s="1" t="s">
        <v>1</v>
      </c>
      <c r="C2" s="1" t="s">
        <v>2</v>
      </c>
      <c r="D2" s="1" t="s">
        <v>3</v>
      </c>
      <c r="E2" s="1"/>
      <c r="F2" s="1" t="s">
        <v>32</v>
      </c>
      <c r="G2" s="1" t="s">
        <v>33</v>
      </c>
      <c r="H2" s="1" t="s">
        <v>34</v>
      </c>
      <c r="K2" s="1" t="s">
        <v>35</v>
      </c>
    </row>
    <row r="3" spans="1:11" ht="13" x14ac:dyDescent="0.3">
      <c r="C3" s="7" t="s">
        <v>4</v>
      </c>
      <c r="D3" s="7" t="s">
        <v>5</v>
      </c>
      <c r="E3" s="7"/>
      <c r="F3" s="7" t="s">
        <v>4</v>
      </c>
      <c r="G3" s="7" t="s">
        <v>4</v>
      </c>
      <c r="I3" s="7" t="s">
        <v>4</v>
      </c>
      <c r="J3" s="7" t="s">
        <v>4</v>
      </c>
      <c r="K3" s="7" t="s">
        <v>4</v>
      </c>
    </row>
    <row r="4" spans="1:11" ht="13" x14ac:dyDescent="0.3">
      <c r="A4" s="1" t="s">
        <v>6</v>
      </c>
      <c r="H4" s="1" t="s">
        <v>36</v>
      </c>
      <c r="I4" s="1" t="s">
        <v>29</v>
      </c>
      <c r="J4" s="1" t="s">
        <v>30</v>
      </c>
    </row>
    <row r="5" spans="1:11" ht="13" x14ac:dyDescent="0.3">
      <c r="A5" s="1" t="s">
        <v>7</v>
      </c>
      <c r="C5" s="3"/>
      <c r="D5" s="3"/>
      <c r="E5" s="3"/>
      <c r="F5" s="3"/>
      <c r="G5" s="3"/>
      <c r="K5" s="3"/>
    </row>
    <row r="6" spans="1:11" x14ac:dyDescent="0.25">
      <c r="A6" t="s">
        <v>8</v>
      </c>
      <c r="C6" s="3">
        <v>16650</v>
      </c>
      <c r="D6" s="3">
        <v>10800</v>
      </c>
      <c r="E6" s="2">
        <v>1.34</v>
      </c>
      <c r="F6" s="3">
        <f>D6/E6</f>
        <v>8059.7014925373132</v>
      </c>
      <c r="G6" s="3">
        <f>C6+F6</f>
        <v>24709.701492537315</v>
      </c>
      <c r="H6" s="9"/>
      <c r="K6" s="3">
        <f>G6+I6-J6</f>
        <v>24709.701492537315</v>
      </c>
    </row>
    <row r="7" spans="1:11" x14ac:dyDescent="0.25">
      <c r="A7" t="s">
        <v>9</v>
      </c>
      <c r="C7" s="10">
        <v>10600</v>
      </c>
      <c r="D7" s="10">
        <v>0</v>
      </c>
      <c r="E7" s="11">
        <v>1.34</v>
      </c>
      <c r="F7" s="10">
        <f>D7/E7</f>
        <v>0</v>
      </c>
      <c r="G7" s="10">
        <f>C7+F7</f>
        <v>10600</v>
      </c>
      <c r="H7" s="9">
        <v>-2</v>
      </c>
      <c r="J7">
        <v>5000</v>
      </c>
      <c r="K7" s="3">
        <f>G7+I7-J7</f>
        <v>5600</v>
      </c>
    </row>
    <row r="8" spans="1:11" x14ac:dyDescent="0.25">
      <c r="A8" t="s">
        <v>31</v>
      </c>
      <c r="C8" s="10">
        <v>0</v>
      </c>
      <c r="D8" s="10">
        <v>0</v>
      </c>
      <c r="E8" s="11"/>
      <c r="F8" s="10">
        <v>0</v>
      </c>
      <c r="G8" s="10">
        <v>0</v>
      </c>
      <c r="H8" s="9">
        <v>-2</v>
      </c>
      <c r="I8">
        <v>270</v>
      </c>
      <c r="K8" s="10">
        <f>G8+I8+I9-J8-J9</f>
        <v>299</v>
      </c>
    </row>
    <row r="9" spans="1:11" x14ac:dyDescent="0.25">
      <c r="C9" s="4">
        <v>0</v>
      </c>
      <c r="D9" s="4">
        <v>0</v>
      </c>
      <c r="E9" s="2"/>
      <c r="F9" s="4">
        <v>0</v>
      </c>
      <c r="G9" s="4">
        <v>0</v>
      </c>
      <c r="H9" s="9">
        <v>-3</v>
      </c>
      <c r="I9" s="4">
        <v>29</v>
      </c>
      <c r="K9" s="4">
        <v>0</v>
      </c>
    </row>
    <row r="10" spans="1:11" x14ac:dyDescent="0.25">
      <c r="C10" s="3">
        <f>SUM(C6:C9)</f>
        <v>27250</v>
      </c>
      <c r="D10" s="3">
        <f>SUM(D6:D9)</f>
        <v>10800</v>
      </c>
      <c r="E10" s="3"/>
      <c r="F10" s="3">
        <f>SUM(F6:F8)</f>
        <v>8059.7014925373132</v>
      </c>
      <c r="G10" s="3">
        <f>C10+F10</f>
        <v>35309.701492537315</v>
      </c>
      <c r="H10" s="9"/>
      <c r="K10" s="3">
        <f>SUM(K6:K9)</f>
        <v>30608.701492537315</v>
      </c>
    </row>
    <row r="11" spans="1:11" x14ac:dyDescent="0.25">
      <c r="C11" s="3"/>
      <c r="D11" s="3"/>
      <c r="E11" s="3"/>
      <c r="F11" s="3"/>
      <c r="G11" s="3"/>
      <c r="H11" s="9"/>
      <c r="K11" s="3"/>
    </row>
    <row r="12" spans="1:11" ht="13" x14ac:dyDescent="0.3">
      <c r="A12" s="1" t="s">
        <v>10</v>
      </c>
      <c r="C12" s="3"/>
      <c r="D12" s="3"/>
      <c r="E12" s="3"/>
      <c r="F12" s="3"/>
      <c r="G12" s="3"/>
      <c r="H12" s="9"/>
      <c r="K12" s="3"/>
    </row>
    <row r="13" spans="1:11" x14ac:dyDescent="0.25">
      <c r="A13" t="s">
        <v>11</v>
      </c>
      <c r="C13" s="3">
        <v>6400</v>
      </c>
      <c r="D13" s="3">
        <v>2450</v>
      </c>
      <c r="E13" s="2">
        <v>1.34</v>
      </c>
      <c r="F13" s="3">
        <f>D13/E13</f>
        <v>1828.3582089552237</v>
      </c>
      <c r="G13" s="3">
        <f>C13+F13</f>
        <v>8228.3582089552237</v>
      </c>
      <c r="H13" s="9"/>
      <c r="K13" s="3">
        <f>G13+H13-I13</f>
        <v>8228.3582089552237</v>
      </c>
    </row>
    <row r="14" spans="1:11" x14ac:dyDescent="0.25">
      <c r="A14" t="s">
        <v>12</v>
      </c>
      <c r="C14" s="3">
        <v>5900</v>
      </c>
      <c r="D14" s="3">
        <v>3600</v>
      </c>
      <c r="E14" s="2">
        <v>1.34</v>
      </c>
      <c r="F14" s="3">
        <f>D14/E14</f>
        <v>2686.5671641791041</v>
      </c>
      <c r="G14" s="3">
        <f>C14+F14</f>
        <v>8586.567164179105</v>
      </c>
      <c r="H14" s="9"/>
      <c r="K14" s="3">
        <f>G14+H14-I14</f>
        <v>8586.567164179105</v>
      </c>
    </row>
    <row r="15" spans="1:11" ht="14" x14ac:dyDescent="0.4">
      <c r="A15" t="s">
        <v>13</v>
      </c>
      <c r="C15" s="5">
        <v>1300</v>
      </c>
      <c r="D15" s="5">
        <v>100</v>
      </c>
      <c r="E15" s="2">
        <v>1.34</v>
      </c>
      <c r="F15" s="5">
        <f>D15/E15</f>
        <v>74.626865671641781</v>
      </c>
      <c r="G15" s="5">
        <f>C15+F15</f>
        <v>1374.6268656716418</v>
      </c>
      <c r="H15" s="9"/>
      <c r="K15" s="3">
        <f>G15+H15-I15</f>
        <v>1374.6268656716418</v>
      </c>
    </row>
    <row r="16" spans="1:11" ht="14" x14ac:dyDescent="0.4">
      <c r="C16" s="5">
        <f>SUM(C13:C15)</f>
        <v>13600</v>
      </c>
      <c r="D16" s="5">
        <f>SUM(D13:D15)</f>
        <v>6150</v>
      </c>
      <c r="E16" s="5"/>
      <c r="F16" s="5">
        <f>SUM(F13:F15)</f>
        <v>4589.5522388059699</v>
      </c>
      <c r="G16" s="5">
        <f>C16+F16</f>
        <v>18189.552238805969</v>
      </c>
      <c r="H16" s="9"/>
      <c r="K16" s="5">
        <f>SUM(K13:K15)</f>
        <v>18189.552238805969</v>
      </c>
    </row>
    <row r="17" spans="1:11" ht="14" x14ac:dyDescent="0.4">
      <c r="A17" s="1" t="s">
        <v>14</v>
      </c>
      <c r="C17" s="6">
        <f>C10+C16</f>
        <v>40850</v>
      </c>
      <c r="D17" s="6">
        <f>D10+D16</f>
        <v>16950</v>
      </c>
      <c r="E17" s="6"/>
      <c r="F17" s="6">
        <f>F10+F16</f>
        <v>12649.253731343284</v>
      </c>
      <c r="G17" s="6">
        <f>C17+F17</f>
        <v>53499.253731343284</v>
      </c>
      <c r="H17" s="9"/>
      <c r="K17" s="6">
        <f>K10+K16</f>
        <v>48798.253731343284</v>
      </c>
    </row>
    <row r="18" spans="1:11" x14ac:dyDescent="0.25">
      <c r="C18" s="3"/>
      <c r="D18" s="3"/>
      <c r="E18" s="3"/>
      <c r="F18" s="3"/>
      <c r="G18" s="3"/>
      <c r="H18" s="9"/>
      <c r="K18" s="3"/>
    </row>
    <row r="19" spans="1:11" ht="13" x14ac:dyDescent="0.3">
      <c r="A19" s="1" t="s">
        <v>15</v>
      </c>
      <c r="C19" s="3"/>
      <c r="D19" s="3"/>
      <c r="E19" s="3"/>
      <c r="F19" s="3"/>
      <c r="G19" s="3"/>
      <c r="H19" s="9"/>
      <c r="K19" s="3"/>
    </row>
    <row r="20" spans="1:11" ht="13" x14ac:dyDescent="0.3">
      <c r="A20" s="1" t="s">
        <v>16</v>
      </c>
      <c r="C20" s="3"/>
      <c r="D20" s="3"/>
      <c r="E20" s="3"/>
      <c r="F20" s="3"/>
      <c r="G20" s="3"/>
      <c r="H20" s="9"/>
      <c r="K20" s="3"/>
    </row>
    <row r="21" spans="1:11" x14ac:dyDescent="0.25">
      <c r="A21" t="s">
        <v>17</v>
      </c>
      <c r="C21" s="3">
        <v>10000</v>
      </c>
      <c r="D21" s="3">
        <v>7000</v>
      </c>
      <c r="E21" s="2">
        <v>1.34</v>
      </c>
      <c r="F21" s="3">
        <f>D21/E21</f>
        <v>5223.8805970149251</v>
      </c>
      <c r="G21" s="3">
        <f>C21+F21</f>
        <v>15223.880597014926</v>
      </c>
      <c r="H21" s="9">
        <v>-1</v>
      </c>
      <c r="I21" s="3"/>
      <c r="K21" s="3">
        <f>G21-I21-I22+J21+J22</f>
        <v>10493.880597014926</v>
      </c>
    </row>
    <row r="22" spans="1:11" x14ac:dyDescent="0.25">
      <c r="C22" s="3"/>
      <c r="D22" s="3"/>
      <c r="E22" s="2"/>
      <c r="F22" s="3"/>
      <c r="G22" s="3"/>
      <c r="H22" s="9">
        <v>-2</v>
      </c>
      <c r="I22" s="3">
        <v>4730</v>
      </c>
      <c r="K22" s="3"/>
    </row>
    <row r="23" spans="1:11" x14ac:dyDescent="0.25">
      <c r="A23" t="s">
        <v>18</v>
      </c>
      <c r="C23" s="3">
        <v>17750</v>
      </c>
      <c r="D23" s="3">
        <v>7400</v>
      </c>
      <c r="E23" s="2">
        <v>1.34</v>
      </c>
      <c r="F23" s="3">
        <f>D23/E23</f>
        <v>5522.3880597014922</v>
      </c>
      <c r="G23" s="3">
        <f>C23+F23</f>
        <v>23272.388059701494</v>
      </c>
      <c r="H23" s="9">
        <v>-1</v>
      </c>
      <c r="I23" s="3"/>
      <c r="K23" s="3">
        <f>G23-I23-I24+J23+J24+J25-I26</f>
        <v>20302.388059701494</v>
      </c>
    </row>
    <row r="24" spans="1:11" x14ac:dyDescent="0.25">
      <c r="C24" s="3"/>
      <c r="D24" s="3"/>
      <c r="E24" s="2"/>
      <c r="F24" s="3"/>
      <c r="G24" s="3"/>
      <c r="H24" s="9">
        <v>-2</v>
      </c>
      <c r="I24" s="3">
        <v>2027</v>
      </c>
      <c r="K24" s="3"/>
    </row>
    <row r="25" spans="1:11" x14ac:dyDescent="0.25">
      <c r="C25" s="3"/>
      <c r="D25" s="3"/>
      <c r="E25" s="2"/>
      <c r="F25" s="3"/>
      <c r="G25" s="3"/>
      <c r="H25" s="9">
        <v>-5</v>
      </c>
      <c r="I25" s="3"/>
      <c r="J25">
        <v>10000</v>
      </c>
      <c r="K25" s="3"/>
    </row>
    <row r="26" spans="1:11" x14ac:dyDescent="0.25">
      <c r="C26" s="3"/>
      <c r="D26" s="3"/>
      <c r="E26" s="2"/>
      <c r="F26" s="3"/>
      <c r="G26" s="3"/>
      <c r="H26" s="9">
        <v>-6</v>
      </c>
      <c r="I26" s="3">
        <v>10943</v>
      </c>
      <c r="K26" s="3"/>
    </row>
    <row r="27" spans="1:11" ht="14" x14ac:dyDescent="0.4">
      <c r="A27" t="s">
        <v>19</v>
      </c>
      <c r="C27" s="5">
        <v>3500</v>
      </c>
      <c r="D27" s="5">
        <v>0</v>
      </c>
      <c r="E27" s="2">
        <v>1.34</v>
      </c>
      <c r="F27" s="5">
        <f>D27/E27</f>
        <v>0</v>
      </c>
      <c r="G27" s="5">
        <f>C27+F27</f>
        <v>3500</v>
      </c>
      <c r="H27" s="9"/>
      <c r="K27" s="10">
        <f>G27-I27+J27</f>
        <v>3500</v>
      </c>
    </row>
    <row r="28" spans="1:11" ht="14" x14ac:dyDescent="0.4">
      <c r="A28" t="s">
        <v>37</v>
      </c>
      <c r="C28" s="5"/>
      <c r="D28" s="5"/>
      <c r="E28" s="2"/>
      <c r="F28" s="5"/>
      <c r="G28" s="5"/>
      <c r="H28" s="9">
        <v>-1</v>
      </c>
      <c r="K28" s="10">
        <f>G28-I28-I29-I30+J28+J29+J30</f>
        <v>-225</v>
      </c>
    </row>
    <row r="29" spans="1:11" ht="14" x14ac:dyDescent="0.4">
      <c r="C29" s="5"/>
      <c r="D29" s="5"/>
      <c r="E29" s="2"/>
      <c r="F29" s="5"/>
      <c r="G29" s="5"/>
      <c r="H29" s="9">
        <v>-3</v>
      </c>
      <c r="J29">
        <v>29</v>
      </c>
      <c r="K29" s="5"/>
    </row>
    <row r="30" spans="1:11" ht="14" x14ac:dyDescent="0.4">
      <c r="C30" s="5"/>
      <c r="D30" s="5"/>
      <c r="E30" s="2"/>
      <c r="F30" s="5"/>
      <c r="G30" s="5"/>
      <c r="H30" s="9">
        <v>-4</v>
      </c>
      <c r="I30">
        <v>254</v>
      </c>
      <c r="K30" s="5"/>
    </row>
    <row r="31" spans="1:11" ht="14" x14ac:dyDescent="0.4">
      <c r="A31" t="s">
        <v>38</v>
      </c>
      <c r="C31" s="5"/>
      <c r="D31" s="5"/>
      <c r="E31" s="2"/>
      <c r="F31" s="5"/>
      <c r="G31" s="5"/>
      <c r="H31" s="9">
        <v>-2</v>
      </c>
      <c r="J31">
        <v>2027</v>
      </c>
      <c r="K31" s="10">
        <f>G31-I31-I32-I33+J31+J32+J33</f>
        <v>3224</v>
      </c>
    </row>
    <row r="32" spans="1:11" ht="14" x14ac:dyDescent="0.4">
      <c r="C32" s="5"/>
      <c r="D32" s="5"/>
      <c r="E32" s="2"/>
      <c r="F32" s="5"/>
      <c r="G32" s="5"/>
      <c r="H32" s="9">
        <v>-4</v>
      </c>
      <c r="J32">
        <v>4197</v>
      </c>
      <c r="K32" s="5"/>
    </row>
    <row r="33" spans="1:12" ht="14" x14ac:dyDescent="0.4">
      <c r="C33" s="5"/>
      <c r="D33" s="5"/>
      <c r="E33" s="2"/>
      <c r="F33" s="5"/>
      <c r="G33" s="5"/>
      <c r="H33" s="9">
        <v>-5</v>
      </c>
      <c r="I33">
        <v>3000</v>
      </c>
      <c r="K33" s="5"/>
    </row>
    <row r="34" spans="1:12" ht="14" x14ac:dyDescent="0.4">
      <c r="A34" s="1" t="s">
        <v>20</v>
      </c>
      <c r="C34" s="5">
        <f>SUM(C21:C27)</f>
        <v>31250</v>
      </c>
      <c r="D34" s="5">
        <f>SUM(D21:D27)</f>
        <v>14400</v>
      </c>
      <c r="E34" s="5"/>
      <c r="F34" s="5">
        <f>SUM(F21:F27)</f>
        <v>10746.268656716416</v>
      </c>
      <c r="G34" s="5">
        <f>C34+F34</f>
        <v>41996.26865671642</v>
      </c>
      <c r="H34" s="9"/>
      <c r="K34" s="5">
        <f>SUM(K21:K33)</f>
        <v>37295.26865671642</v>
      </c>
    </row>
    <row r="35" spans="1:12" x14ac:dyDescent="0.25">
      <c r="C35" s="3"/>
      <c r="D35" s="3"/>
      <c r="E35" s="3"/>
      <c r="F35" s="3"/>
      <c r="G35" s="3"/>
      <c r="H35" s="9"/>
      <c r="K35" s="3"/>
    </row>
    <row r="36" spans="1:12" ht="13" x14ac:dyDescent="0.3">
      <c r="A36" s="1" t="s">
        <v>21</v>
      </c>
      <c r="C36" s="3"/>
      <c r="D36" s="3"/>
      <c r="E36" s="3"/>
      <c r="F36" s="3"/>
      <c r="G36" s="3"/>
      <c r="H36" s="9"/>
      <c r="K36" s="3"/>
    </row>
    <row r="37" spans="1:12" ht="14" x14ac:dyDescent="0.4">
      <c r="A37" t="s">
        <v>22</v>
      </c>
      <c r="C37" s="5">
        <v>3000</v>
      </c>
      <c r="D37" s="5">
        <v>0</v>
      </c>
      <c r="E37" s="2">
        <v>1.34</v>
      </c>
      <c r="F37" s="5">
        <f>D37/E37</f>
        <v>0</v>
      </c>
      <c r="G37" s="5">
        <f>C37+F37</f>
        <v>3000</v>
      </c>
      <c r="H37" s="9"/>
      <c r="K37" s="5">
        <f>G37</f>
        <v>3000</v>
      </c>
    </row>
    <row r="38" spans="1:12" ht="13" x14ac:dyDescent="0.3">
      <c r="A38" s="1" t="s">
        <v>23</v>
      </c>
      <c r="C38" s="3">
        <f>C37</f>
        <v>3000</v>
      </c>
      <c r="D38" s="3">
        <f>D37</f>
        <v>0</v>
      </c>
      <c r="E38" s="3"/>
      <c r="F38" s="3">
        <f>SUM(F37)</f>
        <v>0</v>
      </c>
      <c r="G38" s="3">
        <f>C38+F38</f>
        <v>3000</v>
      </c>
      <c r="H38" s="9"/>
      <c r="K38" s="3">
        <f>K37</f>
        <v>3000</v>
      </c>
    </row>
    <row r="39" spans="1:12" x14ac:dyDescent="0.25">
      <c r="C39" s="3"/>
      <c r="D39" s="3"/>
      <c r="E39" s="3"/>
      <c r="F39" s="3"/>
      <c r="G39" s="3"/>
      <c r="H39" s="9"/>
      <c r="K39" s="3"/>
    </row>
    <row r="40" spans="1:12" ht="13" x14ac:dyDescent="0.3">
      <c r="A40" s="1" t="s">
        <v>24</v>
      </c>
      <c r="C40" s="3"/>
      <c r="D40" s="3"/>
      <c r="E40" s="3"/>
      <c r="F40" s="3"/>
      <c r="G40" s="3"/>
      <c r="H40" s="9"/>
      <c r="K40" s="3"/>
    </row>
    <row r="41" spans="1:12" x14ac:dyDescent="0.25">
      <c r="A41" t="s">
        <v>25</v>
      </c>
      <c r="C41" s="3">
        <v>3100</v>
      </c>
      <c r="D41" s="3">
        <v>950</v>
      </c>
      <c r="E41" s="2">
        <v>1.34</v>
      </c>
      <c r="F41" s="3">
        <f>D41/E41</f>
        <v>708.95522388059692</v>
      </c>
      <c r="G41" s="3">
        <f>C41+F41</f>
        <v>3808.9552238805968</v>
      </c>
      <c r="H41" s="9"/>
      <c r="K41" s="3">
        <f>G41</f>
        <v>3808.9552238805968</v>
      </c>
    </row>
    <row r="42" spans="1:12" ht="14" x14ac:dyDescent="0.4">
      <c r="A42" t="s">
        <v>39</v>
      </c>
      <c r="C42" s="5">
        <v>3500</v>
      </c>
      <c r="D42" s="5">
        <v>1600</v>
      </c>
      <c r="E42" s="2">
        <v>1.34</v>
      </c>
      <c r="F42" s="5">
        <f>D42/E42</f>
        <v>1194.0298507462685</v>
      </c>
      <c r="G42" s="5">
        <f>C42+F42</f>
        <v>4694.0298507462685</v>
      </c>
      <c r="H42" s="9"/>
      <c r="K42" s="5">
        <f>G42</f>
        <v>4694.0298507462685</v>
      </c>
    </row>
    <row r="43" spans="1:12" ht="14" x14ac:dyDescent="0.4">
      <c r="A43" s="1" t="s">
        <v>26</v>
      </c>
      <c r="C43" s="5">
        <f>SUM(C41:C42)</f>
        <v>6600</v>
      </c>
      <c r="D43" s="5">
        <f>SUM(D41:D42)</f>
        <v>2550</v>
      </c>
      <c r="E43" s="5"/>
      <c r="F43" s="5">
        <f>SUM(F41:F42)</f>
        <v>1902.9850746268653</v>
      </c>
      <c r="G43" s="5">
        <f>C43+F43</f>
        <v>8502.9850746268658</v>
      </c>
      <c r="H43" s="9"/>
      <c r="K43" s="5">
        <f>SUM(K41:K42)</f>
        <v>8502.9850746268658</v>
      </c>
    </row>
    <row r="44" spans="1:12" ht="14" x14ac:dyDescent="0.4">
      <c r="A44" s="1" t="s">
        <v>27</v>
      </c>
      <c r="C44" s="5">
        <f>C38+C43</f>
        <v>9600</v>
      </c>
      <c r="D44" s="5">
        <f>D38+D43</f>
        <v>2550</v>
      </c>
      <c r="E44" s="5"/>
      <c r="F44" s="5">
        <f>F38+F43</f>
        <v>1902.9850746268653</v>
      </c>
      <c r="G44" s="5">
        <f>C44+F44</f>
        <v>11502.985074626866</v>
      </c>
      <c r="H44" s="9"/>
      <c r="K44" s="5">
        <f>K38+K43</f>
        <v>11502.985074626866</v>
      </c>
    </row>
    <row r="45" spans="1:12" ht="14" x14ac:dyDescent="0.4">
      <c r="A45" s="1" t="s">
        <v>28</v>
      </c>
      <c r="C45" s="6">
        <f>C34+C44</f>
        <v>40850</v>
      </c>
      <c r="D45" s="6">
        <f>D34+D44</f>
        <v>16950</v>
      </c>
      <c r="E45" s="6"/>
      <c r="F45" s="6">
        <f>F34+F44</f>
        <v>12649.253731343282</v>
      </c>
      <c r="G45" s="6">
        <f>C45+F45</f>
        <v>53499.253731343284</v>
      </c>
      <c r="H45" s="9"/>
      <c r="K45" s="6">
        <f>K34+K44</f>
        <v>48798.253731343284</v>
      </c>
    </row>
    <row r="46" spans="1:12" ht="14" x14ac:dyDescent="0.4">
      <c r="A46" s="1"/>
      <c r="C46" s="6"/>
      <c r="D46" s="6"/>
      <c r="E46" s="6"/>
      <c r="F46" s="6"/>
      <c r="G46" s="6"/>
      <c r="H46" s="9"/>
      <c r="K46" s="6"/>
      <c r="L46" s="8">
        <f>K45-K17</f>
        <v>0</v>
      </c>
    </row>
    <row r="47" spans="1:12" x14ac:dyDescent="0.25">
      <c r="H47" s="9"/>
    </row>
  </sheetData>
  <pageMargins left="0.7" right="0.7" top="0.75" bottom="0.75" header="0.3" footer="0.3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4CDE66EFC981438CA04A75620F6496" ma:contentTypeVersion="7" ma:contentTypeDescription="Create a new document." ma:contentTypeScope="" ma:versionID="4eca8096c6a4510d1b6f65a8d6b0d425">
  <xsd:schema xmlns:xsd="http://www.w3.org/2001/XMLSchema" xmlns:xs="http://www.w3.org/2001/XMLSchema" xmlns:p="http://schemas.microsoft.com/office/2006/metadata/properties" xmlns:ns2="91e4751e-1d0c-4b66-b66e-7648392e3965" targetNamespace="http://schemas.microsoft.com/office/2006/metadata/properties" ma:root="true" ma:fieldsID="32de4672ca76ce0d242cafdfa7cacc49" ns2:_="">
    <xsd:import namespace="91e4751e-1d0c-4b66-b66e-7648392e3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4751e-1d0c-4b66-b66e-7648392e3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397023-8767-488C-8CDF-446995354E63}">
  <ds:schemaRefs>
    <ds:schemaRef ds:uri="http://purl.org/dc/dcmitype/"/>
    <ds:schemaRef ds:uri="91e4751e-1d0c-4b66-b66e-7648392e3965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C063E23-F4C8-4E94-B4BE-1380DEC03D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5370EB-0D46-40FC-8731-751E83AF71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e4751e-1d0c-4b66-b66e-7648392e39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McNellis</dc:creator>
  <cp:keywords/>
  <dc:description/>
  <cp:lastModifiedBy>Catriona Logan</cp:lastModifiedBy>
  <cp:revision/>
  <dcterms:created xsi:type="dcterms:W3CDTF">2024-06-26T10:00:50Z</dcterms:created>
  <dcterms:modified xsi:type="dcterms:W3CDTF">2026-04-22T16:03:55Z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0x0101007B4CDE66EFC981438CA04A75620F6496</vt:lpwstr>
  </property>
  <property fmtid="{D5CDD505-2E9C-101B-9397-08002B2CF9AE}" pid="3" name="MSIP_Label_305cee93-6539-41b3-bc7a-cb7554c8c819_Enabled">
    <vt:lpwstr>true</vt:lpwstr>
  </property>
  <property fmtid="{D5CDD505-2E9C-101B-9397-08002B2CF9AE}" pid="4" name="MSIP_Label_305cee93-6539-41b3-bc7a-cb7554c8c819_SetDate">
    <vt:lpwstr>2026-04-22T16:00:36Z</vt:lpwstr>
  </property>
  <property fmtid="{D5CDD505-2E9C-101B-9397-08002B2CF9AE}" pid="5" name="MSIP_Label_305cee93-6539-41b3-bc7a-cb7554c8c819_Method">
    <vt:lpwstr>Privileged</vt:lpwstr>
  </property>
  <property fmtid="{D5CDD505-2E9C-101B-9397-08002B2CF9AE}" pid="6" name="MSIP_Label_305cee93-6539-41b3-bc7a-cb7554c8c819_Name">
    <vt:lpwstr>Internal</vt:lpwstr>
  </property>
  <property fmtid="{D5CDD505-2E9C-101B-9397-08002B2CF9AE}" pid="7" name="MSIP_Label_305cee93-6539-41b3-bc7a-cb7554c8c819_SiteId">
    <vt:lpwstr>db948178-b83a-4eee-8e9d-8177b14fd979</vt:lpwstr>
  </property>
  <property fmtid="{D5CDD505-2E9C-101B-9397-08002B2CF9AE}" pid="8" name="MSIP_Label_305cee93-6539-41b3-bc7a-cb7554c8c819_ActionId">
    <vt:lpwstr>3ac954c6-4de7-46bd-9cf4-6c155c520d48</vt:lpwstr>
  </property>
  <property fmtid="{D5CDD505-2E9C-101B-9397-08002B2CF9AE}" pid="9" name="MSIP_Label_305cee93-6539-41b3-bc7a-cb7554c8c819_ContentBits">
    <vt:lpwstr>0</vt:lpwstr>
  </property>
  <property fmtid="{D5CDD505-2E9C-101B-9397-08002B2CF9AE}" pid="10" name="MSIP_Label_305cee93-6539-41b3-bc7a-cb7554c8c819_Tag">
    <vt:lpwstr>10, 0, 1, 1</vt:lpwstr>
  </property>
</Properties>
</file>