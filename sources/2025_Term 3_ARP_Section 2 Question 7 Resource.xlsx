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icas1854.sharepoint.com/sites/Stakeholders'SharePoint/Shared Documents/Portfolio 2/S_Advanced Reporting and Performance/5_Summative/2025 Term 3 Summative/09_Final version/"/>
    </mc:Choice>
  </mc:AlternateContent>
  <xr:revisionPtr revIDLastSave="298" documentId="11_0B1D56BE9CDCCE836B02CE7A5FB0D4A9BBFD1C62" xr6:coauthVersionLast="47" xr6:coauthVersionMax="47" xr10:uidLastSave="{D77B76C0-DA5A-4485-99A3-C65426A23955}"/>
  <bookViews>
    <workbookView xWindow="10" yWindow="380" windowWidth="19190" windowHeight="11270" xr2:uid="{00000000-000D-0000-FFFF-FFFF00000000}"/>
  </bookViews>
  <sheets>
    <sheet name="Section 2 Question 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6" i="1"/>
  <c r="B21" i="1" s="1"/>
  <c r="B19" i="1" s="1"/>
  <c r="C8" i="1"/>
  <c r="C14" i="1" s="1"/>
  <c r="C16" i="1" s="1"/>
</calcChain>
</file>

<file path=xl/sharedStrings.xml><?xml version="1.0" encoding="utf-8"?>
<sst xmlns="http://schemas.openxmlformats.org/spreadsheetml/2006/main" count="19" uniqueCount="18">
  <si>
    <t>Weller group (excluding Doe)</t>
  </si>
  <si>
    <t>Doe Ltd</t>
  </si>
  <si>
    <t>£'000</t>
  </si>
  <si>
    <t>Revenue</t>
  </si>
  <si>
    <t>Cost of sales</t>
  </si>
  <si>
    <t>Gross profit</t>
  </si>
  <si>
    <t>Finance income</t>
  </si>
  <si>
    <t>Distribution costs</t>
  </si>
  <si>
    <t>Administrative expenses</t>
  </si>
  <si>
    <t>Finance costs</t>
  </si>
  <si>
    <t>Profit before tax</t>
  </si>
  <si>
    <t>Income tax expense</t>
  </si>
  <si>
    <t>Profit for the year</t>
  </si>
  <si>
    <t>Profit attributable to:</t>
  </si>
  <si>
    <t>Owners of the parent</t>
  </si>
  <si>
    <t>Non-controlling interests</t>
  </si>
  <si>
    <t>Consolidated statement of profit or loss for the year ended 31 March 2025</t>
  </si>
  <si>
    <t>K-dot-Weller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</si>
</sst>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/>
    <xf numFmtId="164" fontId="3" fillId="0" borderId="3" xfId="0" applyNumberFormat="1" applyFont="1" applyBorder="1"/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topLeftCell="A2" workbookViewId="0"/>
  </sheetViews>
  <sheetFormatPr defaultColWidth="9.1796875" defaultRowHeight="14" x14ac:dyDescent="0.3"/>
  <cols>
    <col min="1" max="1" width="36.1796875" style="1" customWidth="1"/>
    <col min="2" max="2" width="12.7265625" style="2" customWidth="1"/>
    <col min="3" max="16384" width="9.1796875" style="1"/>
  </cols>
  <sheetData>
    <row r="1" spans="1:13" x14ac:dyDescent="0.3">
      <c r="A1" s="4" t="s">
        <v>17</v>
      </c>
      <c r="B1" s="5"/>
      <c r="C1" s="6"/>
      <c r="D1" s="6"/>
      <c r="E1" s="6"/>
    </row>
    <row r="2" spans="1:13" ht="45" customHeight="1" x14ac:dyDescent="0.3">
      <c r="A2" s="17" t="s">
        <v>16</v>
      </c>
      <c r="B2" s="17"/>
      <c r="C2" s="17"/>
      <c r="D2" s="6"/>
      <c r="E2" s="6"/>
    </row>
    <row r="3" spans="1:13" x14ac:dyDescent="0.3">
      <c r="A3" s="4"/>
      <c r="B3" s="5"/>
      <c r="C3" s="6"/>
      <c r="D3" s="6"/>
      <c r="E3" s="6"/>
    </row>
    <row r="4" spans="1:13" ht="43.5" x14ac:dyDescent="0.35">
      <c r="A4" s="6"/>
      <c r="B4" s="7" t="s">
        <v>0</v>
      </c>
      <c r="C4" s="8" t="s">
        <v>1</v>
      </c>
      <c r="D4" s="9"/>
      <c r="E4" s="6"/>
    </row>
    <row r="5" spans="1:13" ht="14.5" x14ac:dyDescent="0.35">
      <c r="A5" s="6"/>
      <c r="B5" s="8" t="s">
        <v>2</v>
      </c>
      <c r="C5" s="8" t="s">
        <v>2</v>
      </c>
      <c r="D5" s="8"/>
      <c r="E5" s="6"/>
    </row>
    <row r="6" spans="1:13" x14ac:dyDescent="0.3">
      <c r="A6" s="6" t="s">
        <v>3</v>
      </c>
      <c r="B6" s="10">
        <v>32090</v>
      </c>
      <c r="C6" s="11">
        <v>10280</v>
      </c>
      <c r="D6" s="11"/>
      <c r="E6" s="11"/>
      <c r="F6" s="3"/>
      <c r="G6" s="3"/>
      <c r="H6" s="3"/>
      <c r="I6" s="3"/>
      <c r="J6" s="3"/>
      <c r="K6" s="3"/>
      <c r="L6" s="3"/>
      <c r="M6" s="3"/>
    </row>
    <row r="7" spans="1:13" x14ac:dyDescent="0.3">
      <c r="A7" s="6" t="s">
        <v>4</v>
      </c>
      <c r="B7" s="10">
        <v>-17271</v>
      </c>
      <c r="C7" s="11">
        <v>-7878</v>
      </c>
      <c r="D7" s="11"/>
      <c r="E7" s="11"/>
      <c r="F7" s="3"/>
      <c r="G7" s="3"/>
      <c r="H7" s="3"/>
      <c r="I7" s="3"/>
      <c r="J7" s="3"/>
      <c r="K7" s="3"/>
      <c r="L7" s="3"/>
      <c r="M7" s="3"/>
    </row>
    <row r="8" spans="1:13" x14ac:dyDescent="0.3">
      <c r="A8" s="6" t="s">
        <v>5</v>
      </c>
      <c r="B8" s="12">
        <v>14819</v>
      </c>
      <c r="C8" s="13">
        <f>SUM(C6:C7)</f>
        <v>2402</v>
      </c>
      <c r="D8" s="11"/>
      <c r="E8" s="11"/>
      <c r="F8" s="3"/>
      <c r="G8" s="3"/>
      <c r="H8" s="3"/>
      <c r="I8" s="3"/>
      <c r="J8" s="3"/>
      <c r="K8" s="3"/>
      <c r="L8" s="3"/>
      <c r="M8" s="3"/>
    </row>
    <row r="9" spans="1:13" x14ac:dyDescent="0.3">
      <c r="A9" s="6"/>
      <c r="B9" s="10"/>
      <c r="C9" s="11"/>
      <c r="D9" s="11"/>
      <c r="E9" s="11"/>
      <c r="F9" s="3"/>
      <c r="G9" s="3"/>
      <c r="H9" s="3"/>
      <c r="I9" s="3"/>
      <c r="J9" s="3"/>
      <c r="K9" s="3"/>
      <c r="L9" s="3"/>
      <c r="M9" s="3"/>
    </row>
    <row r="10" spans="1:13" x14ac:dyDescent="0.3">
      <c r="A10" s="6" t="s">
        <v>6</v>
      </c>
      <c r="B10" s="10">
        <v>200</v>
      </c>
      <c r="C10" s="11">
        <v>0</v>
      </c>
      <c r="D10" s="11"/>
      <c r="E10" s="11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6" t="s">
        <v>7</v>
      </c>
      <c r="B11" s="10">
        <v>-1244</v>
      </c>
      <c r="C11" s="11">
        <v>-673</v>
      </c>
      <c r="D11" s="11"/>
      <c r="E11" s="11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6" t="s">
        <v>8</v>
      </c>
      <c r="B12" s="10">
        <v>-3650</v>
      </c>
      <c r="C12" s="11">
        <v>-1109</v>
      </c>
      <c r="D12" s="10"/>
      <c r="E12" s="11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6" t="s">
        <v>9</v>
      </c>
      <c r="B13" s="10">
        <v>-100</v>
      </c>
      <c r="C13" s="14">
        <v>-65</v>
      </c>
      <c r="D13" s="10"/>
      <c r="E13" s="11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6" t="s">
        <v>10</v>
      </c>
      <c r="B14" s="12">
        <f>SUM(B8:B13)</f>
        <v>10025</v>
      </c>
      <c r="C14" s="11">
        <f>SUM(C8:C13)</f>
        <v>555</v>
      </c>
      <c r="D14" s="11"/>
      <c r="E14" s="11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6" t="s">
        <v>11</v>
      </c>
      <c r="B15" s="10">
        <v>-1782</v>
      </c>
      <c r="C15" s="11">
        <v>-305</v>
      </c>
      <c r="D15" s="11"/>
      <c r="E15" s="11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6" t="s">
        <v>12</v>
      </c>
      <c r="B16" s="15">
        <f>SUM(B14:B15)</f>
        <v>8243</v>
      </c>
      <c r="C16" s="16">
        <f>SUM(C14:C15)</f>
        <v>250</v>
      </c>
      <c r="D16" s="11"/>
      <c r="E16" s="11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6"/>
      <c r="B17" s="10"/>
      <c r="C17" s="11"/>
      <c r="D17" s="11"/>
      <c r="E17" s="11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6" t="s">
        <v>13</v>
      </c>
      <c r="B18" s="10"/>
      <c r="C18" s="11"/>
      <c r="D18" s="11"/>
      <c r="E18" s="11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6" t="s">
        <v>14</v>
      </c>
      <c r="B19" s="10">
        <f>B21-B20</f>
        <v>8211</v>
      </c>
      <c r="C19" s="11"/>
      <c r="D19" s="11"/>
      <c r="E19" s="11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6" t="s">
        <v>15</v>
      </c>
      <c r="B20" s="10">
        <v>32</v>
      </c>
      <c r="C20" s="11"/>
      <c r="D20" s="11"/>
      <c r="E20" s="11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6"/>
      <c r="B21" s="15">
        <f>B16</f>
        <v>8243</v>
      </c>
      <c r="C21" s="11"/>
      <c r="D21" s="11"/>
      <c r="E21" s="11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6"/>
      <c r="B22" s="10"/>
      <c r="C22" s="11"/>
      <c r="D22" s="11"/>
      <c r="E22" s="11"/>
      <c r="F22" s="3"/>
      <c r="G22" s="3"/>
      <c r="H22" s="3"/>
      <c r="I22" s="3"/>
      <c r="J22" s="3"/>
      <c r="K22" s="3"/>
      <c r="L22" s="3"/>
      <c r="M22" s="3"/>
    </row>
  </sheetData>
  <mergeCells count="1">
    <mergeCell ref="A2:C2"/>
  </mergeCells>
  <pageMargins left="0.7" right="0.7" top="0.75" bottom="0.75" header="0.3" footer="0.3"/>
  <pageSetup paperSize="9" orientation="portrait" r:id="rId1"/>
  <ignoredErrors>
    <ignoredError sqref="B1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94c0b488-b67f-489f-a6ae-c4ff995b3cd2" xsi:nil="true"/>
    <TaxCatchAll xmlns="248163da-1225-4359-a6a0-178051ff20f3" xsi:nil="true"/>
    <Logo xmlns="94c0b488-b67f-489f-a6ae-c4ff995b3cd2">
      <Url xsi:nil="true"/>
      <Description xsi:nil="true"/>
    </Logo>
    <Number xmlns="94c0b488-b67f-489f-a6ae-c4ff995b3cd2" xsi:nil="true"/>
    <lcf76f155ced4ddcb4097134ff3c332f xmlns="94c0b488-b67f-489f-a6ae-c4ff995b3c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075C7C63DF2B45BAE7989171BC3068" ma:contentTypeVersion="17" ma:contentTypeDescription="Create a new document." ma:contentTypeScope="" ma:versionID="dc6d267bcebfeb78c0660a1583f7e276">
  <xsd:schema xmlns:xsd="http://www.w3.org/2001/XMLSchema" xmlns:xs="http://www.w3.org/2001/XMLSchema" xmlns:p="http://schemas.microsoft.com/office/2006/metadata/properties" xmlns:ns2="94c0b488-b67f-489f-a6ae-c4ff995b3cd2" xmlns:ns3="248163da-1225-4359-a6a0-178051ff20f3" targetNamespace="http://schemas.microsoft.com/office/2006/metadata/properties" ma:root="true" ma:fieldsID="29fc3d94b32460ad3eba022278216974" ns2:_="" ns3:_="">
    <xsd:import namespace="94c0b488-b67f-489f-a6ae-c4ff995b3cd2"/>
    <xsd:import namespace="248163da-1225-4359-a6a0-178051ff20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test" minOccurs="0"/>
                <xsd:element ref="ns2:Logo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0b488-b67f-489f-a6ae-c4ff995b3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0fa5b73-c91b-4169-bfc8-b85bc92a6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test" ma:index="21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ogo" ma:index="22" nillable="true" ma:displayName="Logo" ma:format="Hyperlink" ma:internalName="Log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umber" ma:index="23" nillable="true" ma:displayName="Number" ma:format="Dropdown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163da-1225-4359-a6a0-178051ff20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7806d85-b4dc-414a-acb3-34bc76a720d7}" ma:internalName="TaxCatchAll" ma:showField="CatchAllData" ma:web="248163da-1225-4359-a6a0-178051ff20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539E27-6212-4397-8127-6FC26E0370B1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35b4303a-522f-461f-a186-2d6021a487df"/>
    <ds:schemaRef ds:uri="e7339877-8afd-415b-9fed-29bb9d43628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5ADFB7E-C49D-4A36-BAED-A426455291F3}"/>
</file>

<file path=customXml/itemProps3.xml><?xml version="1.0" encoding="utf-8"?>
<ds:datastoreItem xmlns:ds="http://schemas.openxmlformats.org/officeDocument/2006/customXml" ds:itemID="{1C9D75CA-1FBD-4679-BA50-F6A6BCBEA3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2 Question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Joanne Mills</cp:lastModifiedBy>
  <cp:revision/>
  <dcterms:created xsi:type="dcterms:W3CDTF">2024-12-01T19:34:27Z</dcterms:created>
  <dcterms:modified xsi:type="dcterms:W3CDTF">2025-05-06T13:58:40Z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0x010100CD075C7C63DF2B45BAE7989171BC3068</vt:lpwstr>
  </property>
  <property fmtid="{D5CDD505-2E9C-101B-9397-08002B2CF9AE}" pid="3" name="MediaServiceImageTags">
    <vt:lpwstr/>
  </property>
</Properties>
</file>